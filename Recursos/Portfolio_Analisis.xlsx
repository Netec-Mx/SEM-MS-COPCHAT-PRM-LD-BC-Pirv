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folio" sheetId="1" state="visible" r:id="rId1"/>
    <sheet xmlns:r="http://schemas.openxmlformats.org/officeDocument/2006/relationships" name="Conclusiones" sheetId="2" state="visible" r:id="rId2"/>
    <sheet xmlns:r="http://schemas.openxmlformats.org/officeDocument/2006/relationships" name="Instrucciones" sheetId="3" state="visible" r:id="rId3"/>
  </sheets>
  <definedNames>
    <definedName name="_xlnm._FilterDatabase" localSheetId="0" hidden="1">'Portafolio'!$A$4:$I$28</definedName>
    <definedName name="_xlnm.Print_Titles" localSheetId="0">'Portafolio'!$1:$4</definedName>
    <definedName name="_xlnm.Print_Area" localSheetId="0">'Portafolio'!$A$1:$I$28</definedName>
    <definedName name="_xlnm.Print_Area" localSheetId="1">'Conclusiones'!$A$1:$F$9</definedName>
    <definedName name="_xlnm.Print_Area" localSheetId="2">'Instrucciones'!$A$1:$B$10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6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color rgb="00667085"/>
      <sz val="10"/>
    </font>
    <font>
      <name val="Aptos"/>
      <b val="1"/>
      <color rgb="00FFFFFF"/>
      <sz val="10"/>
    </font>
    <font>
      <name val="Aptos"/>
      <color rgb="001F2937"/>
      <sz val="10"/>
    </font>
    <font>
      <name val="Aptos Display"/>
      <b val="1"/>
      <color rgb="00FFFFFF"/>
      <sz val="17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44062"/>
      </patternFill>
    </fill>
    <fill>
      <patternFill patternType="solid">
        <fgColor rgb="00FCE8E6"/>
      </patternFill>
    </fill>
    <fill>
      <patternFill patternType="solid">
        <fgColor rgb="00FFF4CC"/>
      </patternFill>
    </fill>
    <fill>
      <patternFill patternType="solid">
        <fgColor rgb="00E9F5E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0" fontId="4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5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vertical="center" wrapText="1"/>
    </xf>
    <xf numFmtId="0" fontId="4" fillId="7" borderId="1" applyAlignment="1" pivotButton="0" quotePrefix="0" xfId="0">
      <alignment vertical="top" wrapText="1"/>
    </xf>
    <xf numFmtId="0" fontId="3" fillId="3" borderId="0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9F5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Portafolio" displayName="Portafolio" ref="A4:I28" headerRowCount="1">
  <autoFilter ref="A4:I28"/>
  <tableColumns count="9">
    <tableColumn id="1" name="Periodo"/>
    <tableColumn id="2" name="Activo_ID"/>
    <tableColumn id="3" name="Clase"/>
    <tableColumn id="4" name="Sector"/>
    <tableColumn id="5" name="Valor_Inicial"/>
    <tableColumn id="6" name="Valor_Actual"/>
    <tableColumn id="7" name="Rendimiento_pct"/>
    <tableColumn id="8" name="Exposicion_pct"/>
    <tableColumn id="9" name="Nivel_Riesgo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ConclusionesTabla" displayName="ConclusionesTabla" ref="A4:F9" headerRowCount="1">
  <autoFilter ref="A4:F9"/>
  <tableColumns count="6">
    <tableColumn id="1" name="N"/>
    <tableColumn id="2" name="Hallazgo"/>
    <tableColumn id="3" name="Evidencia"/>
    <tableColumn id="4" name="Método de validación"/>
    <tableColumn id="5" name="Nivel de confianza"/>
    <tableColumn id="6" name="Aspecto pendiente"/>
  </tableColumns>
  <tableStyleInfo name="TableStyleMedium2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16" customWidth="1" min="4" max="4"/>
    <col width="16" customWidth="1" min="5" max="5"/>
    <col width="16" customWidth="1" min="6" max="6"/>
    <col width="17" customWidth="1" min="7" max="7"/>
    <col width="16" customWidth="1" min="8" max="8"/>
    <col width="15" customWidth="1" min="9" max="9"/>
  </cols>
  <sheetData>
    <row r="1" ht="30" customHeight="1">
      <c r="A1" s="1" t="inlineStr">
        <is>
          <t>Portafolio de Inversión — Seguimiento mensual</t>
        </is>
      </c>
    </row>
    <row r="2" ht="22" customHeight="1">
      <c r="A2" s="2" t="inlineStr">
        <is>
          <t>Corte de información: octubre de 2026   |   Moneda: USD   |   Uso: Comité de Inversiones</t>
        </is>
      </c>
    </row>
    <row r="4" ht="30" customHeight="1">
      <c r="A4" s="3" t="inlineStr">
        <is>
          <t>Periodo</t>
        </is>
      </c>
      <c r="B4" s="3" t="inlineStr">
        <is>
          <t>Activo_ID</t>
        </is>
      </c>
      <c r="C4" s="3" t="inlineStr">
        <is>
          <t>Clase</t>
        </is>
      </c>
      <c r="D4" s="3" t="inlineStr">
        <is>
          <t>Sector</t>
        </is>
      </c>
      <c r="E4" s="3" t="inlineStr">
        <is>
          <t>Valor_Inicial</t>
        </is>
      </c>
      <c r="F4" s="3" t="inlineStr">
        <is>
          <t>Valor_Actual</t>
        </is>
      </c>
      <c r="G4" s="3" t="inlineStr">
        <is>
          <t>Rendimiento_pct</t>
        </is>
      </c>
      <c r="H4" s="3" t="inlineStr">
        <is>
          <t>Exposicion_pct</t>
        </is>
      </c>
      <c r="I4" s="3" t="inlineStr">
        <is>
          <t>Nivel_Riesgo</t>
        </is>
      </c>
    </row>
    <row r="5">
      <c r="A5" s="4" t="inlineStr">
        <is>
          <t>Jul-2026</t>
        </is>
      </c>
      <c r="B5" s="4" t="inlineStr">
        <is>
          <t>ETF Tecnología Global</t>
        </is>
      </c>
      <c r="C5" s="4" t="inlineStr">
        <is>
          <t>Renta variable</t>
        </is>
      </c>
      <c r="D5" s="4" t="inlineStr">
        <is>
          <t>Tecnología</t>
        </is>
      </c>
      <c r="E5" s="5" t="n">
        <v>120000</v>
      </c>
      <c r="F5" s="5" t="n">
        <v>123840</v>
      </c>
      <c r="G5" s="6" t="n">
        <v>0.032</v>
      </c>
      <c r="H5" s="6" t="n">
        <v>0.25</v>
      </c>
      <c r="I5" s="7" t="inlineStr">
        <is>
          <t>Alto</t>
        </is>
      </c>
    </row>
    <row r="6">
      <c r="A6" s="4" t="inlineStr">
        <is>
          <t>Jul-2026</t>
        </is>
      </c>
      <c r="B6" s="4" t="inlineStr">
        <is>
          <t>Fondo Innovación Digital</t>
        </is>
      </c>
      <c r="C6" s="4" t="inlineStr">
        <is>
          <t>Renta variable</t>
        </is>
      </c>
      <c r="D6" s="4" t="inlineStr">
        <is>
          <t>Tecnología</t>
        </is>
      </c>
      <c r="E6" s="5" t="n">
        <v>95000</v>
      </c>
      <c r="F6" s="5" t="n">
        <v>96710</v>
      </c>
      <c r="G6" s="6" t="n">
        <v>0.018</v>
      </c>
      <c r="H6" s="6" t="n">
        <v>0.18</v>
      </c>
      <c r="I6" s="7" t="inlineStr">
        <is>
          <t>Alto</t>
        </is>
      </c>
    </row>
    <row r="7">
      <c r="A7" s="4" t="inlineStr">
        <is>
          <t>Jul-2026</t>
        </is>
      </c>
      <c r="B7" s="4" t="inlineStr">
        <is>
          <t>Bono Corporativo Financiero 2029</t>
        </is>
      </c>
      <c r="C7" s="4" t="inlineStr">
        <is>
          <t>Renta fija</t>
        </is>
      </c>
      <c r="D7" s="4" t="inlineStr">
        <is>
          <t>Financiero</t>
        </is>
      </c>
      <c r="E7" s="5" t="n">
        <v>110000</v>
      </c>
      <c r="F7" s="5" t="n">
        <v>111210</v>
      </c>
      <c r="G7" s="6" t="n">
        <v>0.011</v>
      </c>
      <c r="H7" s="6" t="n">
        <v>0.17</v>
      </c>
      <c r="I7" s="8" t="inlineStr">
        <is>
          <t>Medio</t>
        </is>
      </c>
    </row>
    <row r="8">
      <c r="A8" s="4" t="inlineStr">
        <is>
          <t>Jul-2026</t>
        </is>
      </c>
      <c r="B8" s="4" t="inlineStr">
        <is>
          <t>Bono Soberano 2031</t>
        </is>
      </c>
      <c r="C8" s="4" t="inlineStr">
        <is>
          <t>Renta fija</t>
        </is>
      </c>
      <c r="D8" s="4" t="inlineStr">
        <is>
          <t>Gobierno</t>
        </is>
      </c>
      <c r="E8" s="5" t="n">
        <v>100000</v>
      </c>
      <c r="F8" s="5" t="n">
        <v>100600</v>
      </c>
      <c r="G8" s="6" t="n">
        <v>0.006</v>
      </c>
      <c r="H8" s="6" t="n">
        <v>0.16</v>
      </c>
      <c r="I8" s="9" t="inlineStr">
        <is>
          <t>Bajo</t>
        </is>
      </c>
    </row>
    <row r="9">
      <c r="A9" s="4" t="inlineStr">
        <is>
          <t>Jul-2026</t>
        </is>
      </c>
      <c r="B9" s="4" t="inlineStr">
        <is>
          <t>Fondo Industrial Regional</t>
        </is>
      </c>
      <c r="C9" s="4" t="inlineStr">
        <is>
          <t>Renta variable</t>
        </is>
      </c>
      <c r="D9" s="4" t="inlineStr">
        <is>
          <t>Industrial</t>
        </is>
      </c>
      <c r="E9" s="5" t="n">
        <v>85000</v>
      </c>
      <c r="F9" s="5" t="n">
        <v>86275</v>
      </c>
      <c r="G9" s="6" t="n">
        <v>0.015</v>
      </c>
      <c r="H9" s="6" t="n">
        <v>0.14</v>
      </c>
      <c r="I9" s="8" t="inlineStr">
        <is>
          <t>Medio</t>
        </is>
      </c>
    </row>
    <row r="10">
      <c r="A10" s="4" t="inlineStr">
        <is>
          <t>Jul-2026</t>
        </is>
      </c>
      <c r="B10" s="4" t="inlineStr">
        <is>
          <t>Fondo Infraestructura Energética</t>
        </is>
      </c>
      <c r="C10" s="4" t="inlineStr">
        <is>
          <t>Alternativo</t>
        </is>
      </c>
      <c r="D10" s="4" t="inlineStr">
        <is>
          <t>Energía</t>
        </is>
      </c>
      <c r="E10" s="5" t="n">
        <v>70000</v>
      </c>
      <c r="F10" s="5" t="n">
        <v>68460</v>
      </c>
      <c r="G10" s="6" t="n">
        <v>-0.022</v>
      </c>
      <c r="H10" s="6" t="n">
        <v>0.1</v>
      </c>
      <c r="I10" s="7" t="inlineStr">
        <is>
          <t>Alto</t>
        </is>
      </c>
    </row>
    <row r="11">
      <c r="A11" s="4" t="inlineStr">
        <is>
          <t>Ago-2026</t>
        </is>
      </c>
      <c r="B11" s="4" t="inlineStr">
        <is>
          <t>ETF Tecnología Global</t>
        </is>
      </c>
      <c r="C11" s="4" t="inlineStr">
        <is>
          <t>Renta variable</t>
        </is>
      </c>
      <c r="D11" s="4" t="inlineStr">
        <is>
          <t>Tecnología</t>
        </is>
      </c>
      <c r="E11" s="5" t="n">
        <v>121500</v>
      </c>
      <c r="F11" s="5" t="n">
        <v>126481.5</v>
      </c>
      <c r="G11" s="6" t="n">
        <v>0.041</v>
      </c>
      <c r="H11" s="6" t="n">
        <v>0.27</v>
      </c>
      <c r="I11" s="7" t="inlineStr">
        <is>
          <t>Alto</t>
        </is>
      </c>
    </row>
    <row r="12">
      <c r="A12" s="4" t="inlineStr">
        <is>
          <t>Ago-2026</t>
        </is>
      </c>
      <c r="B12" s="4" t="inlineStr">
        <is>
          <t>Fondo Innovación Digital</t>
        </is>
      </c>
      <c r="C12" s="4" t="inlineStr">
        <is>
          <t>Renta variable</t>
        </is>
      </c>
      <c r="D12" s="4" t="inlineStr">
        <is>
          <t>Tecnología</t>
        </is>
      </c>
      <c r="E12" s="5" t="n">
        <v>98000</v>
      </c>
      <c r="F12" s="5" t="n">
        <v>100646</v>
      </c>
      <c r="G12" s="6" t="n">
        <v>0.027</v>
      </c>
      <c r="H12" s="6" t="n">
        <v>0.19</v>
      </c>
      <c r="I12" s="7" t="inlineStr">
        <is>
          <t>Alto</t>
        </is>
      </c>
    </row>
    <row r="13">
      <c r="A13" s="4" t="inlineStr">
        <is>
          <t>Ago-2026</t>
        </is>
      </c>
      <c r="B13" s="4" t="inlineStr">
        <is>
          <t>Bono Corporativo Financiero 2029</t>
        </is>
      </c>
      <c r="C13" s="4" t="inlineStr">
        <is>
          <t>Renta fija</t>
        </is>
      </c>
      <c r="D13" s="4" t="inlineStr">
        <is>
          <t>Financiero</t>
        </is>
      </c>
      <c r="E13" s="5" t="n">
        <v>114500</v>
      </c>
      <c r="F13" s="5" t="n">
        <v>115645</v>
      </c>
      <c r="G13" s="6" t="n">
        <v>0.01</v>
      </c>
      <c r="H13" s="6" t="n">
        <v>0.16</v>
      </c>
      <c r="I13" s="8" t="inlineStr">
        <is>
          <t>Medio</t>
        </is>
      </c>
    </row>
    <row r="14">
      <c r="A14" s="4" t="inlineStr">
        <is>
          <t>Ago-2026</t>
        </is>
      </c>
      <c r="B14" s="4" t="inlineStr">
        <is>
          <t>Bono Soberano 2031</t>
        </is>
      </c>
      <c r="C14" s="4" t="inlineStr">
        <is>
          <t>Renta fija</t>
        </is>
      </c>
      <c r="D14" s="4" t="inlineStr">
        <is>
          <t>Gobierno</t>
        </is>
      </c>
      <c r="E14" s="5" t="n">
        <v>106000</v>
      </c>
      <c r="F14" s="5" t="n">
        <v>106742</v>
      </c>
      <c r="G14" s="6" t="n">
        <v>0.007</v>
      </c>
      <c r="H14" s="6" t="n">
        <v>0.15</v>
      </c>
      <c r="I14" s="9" t="inlineStr">
        <is>
          <t>Bajo</t>
        </is>
      </c>
    </row>
    <row r="15">
      <c r="A15" s="4" t="inlineStr">
        <is>
          <t>Ago-2026</t>
        </is>
      </c>
      <c r="B15" s="4" t="inlineStr">
        <is>
          <t>Fondo Industrial Regional</t>
        </is>
      </c>
      <c r="C15" s="4" t="inlineStr">
        <is>
          <t>Renta variable</t>
        </is>
      </c>
      <c r="D15" s="4" t="inlineStr">
        <is>
          <t>Industrial</t>
        </is>
      </c>
      <c r="E15" s="5" t="n">
        <v>92500</v>
      </c>
      <c r="F15" s="5" t="n">
        <v>94257.5</v>
      </c>
      <c r="G15" s="6" t="n">
        <v>0.019</v>
      </c>
      <c r="H15" s="6" t="n">
        <v>0.13</v>
      </c>
      <c r="I15" s="8" t="inlineStr">
        <is>
          <t>Medio</t>
        </is>
      </c>
    </row>
    <row r="16">
      <c r="A16" s="4" t="inlineStr">
        <is>
          <t>Ago-2026</t>
        </is>
      </c>
      <c r="B16" s="4" t="inlineStr">
        <is>
          <t>Fondo Infraestructura Energética</t>
        </is>
      </c>
      <c r="C16" s="4" t="inlineStr">
        <is>
          <t>Alternativo</t>
        </is>
      </c>
      <c r="D16" s="4" t="inlineStr">
        <is>
          <t>Energía</t>
        </is>
      </c>
      <c r="E16" s="5" t="n">
        <v>79000</v>
      </c>
      <c r="F16" s="5" t="n">
        <v>76235</v>
      </c>
      <c r="G16" s="6" t="n">
        <v>-0.035</v>
      </c>
      <c r="H16" s="6" t="n">
        <v>0.1</v>
      </c>
      <c r="I16" s="7" t="inlineStr">
        <is>
          <t>Alto</t>
        </is>
      </c>
    </row>
    <row r="17">
      <c r="A17" s="4" t="inlineStr">
        <is>
          <t>Sep-2026</t>
        </is>
      </c>
      <c r="B17" s="4" t="inlineStr">
        <is>
          <t>ETF Tecnología Global</t>
        </is>
      </c>
      <c r="C17" s="4" t="inlineStr">
        <is>
          <t>Renta variable</t>
        </is>
      </c>
      <c r="D17" s="4" t="inlineStr">
        <is>
          <t>Tecnología</t>
        </is>
      </c>
      <c r="E17" s="5" t="n">
        <v>123000</v>
      </c>
      <c r="F17" s="5" t="n">
        <v>129765</v>
      </c>
      <c r="G17" s="6" t="n">
        <v>0.055</v>
      </c>
      <c r="H17" s="6" t="n">
        <v>0.29</v>
      </c>
      <c r="I17" s="7" t="inlineStr">
        <is>
          <t>Alto</t>
        </is>
      </c>
    </row>
    <row r="18">
      <c r="A18" s="4" t="inlineStr">
        <is>
          <t>Sep-2026</t>
        </is>
      </c>
      <c r="B18" s="4" t="inlineStr">
        <is>
          <t>Fondo Innovación Digital</t>
        </is>
      </c>
      <c r="C18" s="4" t="inlineStr">
        <is>
          <t>Renta variable</t>
        </is>
      </c>
      <c r="D18" s="4" t="inlineStr">
        <is>
          <t>Tecnología</t>
        </is>
      </c>
      <c r="E18" s="5" t="n">
        <v>101000</v>
      </c>
      <c r="F18" s="5" t="n">
        <v>104434</v>
      </c>
      <c r="G18" s="6" t="n">
        <v>0.034</v>
      </c>
      <c r="H18" s="6" t="n">
        <v>0.2</v>
      </c>
      <c r="I18" s="7" t="inlineStr">
        <is>
          <t>Alto</t>
        </is>
      </c>
    </row>
    <row r="19">
      <c r="A19" s="4" t="inlineStr">
        <is>
          <t>Sep-2026</t>
        </is>
      </c>
      <c r="B19" s="4" t="inlineStr">
        <is>
          <t>Bono Corporativo Financiero 2029</t>
        </is>
      </c>
      <c r="C19" s="4" t="inlineStr">
        <is>
          <t>Renta fija</t>
        </is>
      </c>
      <c r="D19" s="4" t="inlineStr">
        <is>
          <t>Financiero</t>
        </is>
      </c>
      <c r="E19" s="5" t="n">
        <v>119000</v>
      </c>
      <c r="F19" s="5" t="n">
        <v>120071</v>
      </c>
      <c r="G19" s="6" t="n">
        <v>0.008999999999999999</v>
      </c>
      <c r="H19" s="6" t="n">
        <v>0.15</v>
      </c>
      <c r="I19" s="8" t="inlineStr">
        <is>
          <t>Medio</t>
        </is>
      </c>
    </row>
    <row r="20">
      <c r="A20" s="4" t="inlineStr">
        <is>
          <t>Sep-2026</t>
        </is>
      </c>
      <c r="B20" s="4" t="inlineStr">
        <is>
          <t>Bono Soberano 2031</t>
        </is>
      </c>
      <c r="C20" s="4" t="inlineStr">
        <is>
          <t>Renta fija</t>
        </is>
      </c>
      <c r="D20" s="4" t="inlineStr">
        <is>
          <t>Gobierno</t>
        </is>
      </c>
      <c r="E20" s="5" t="n">
        <v>112000</v>
      </c>
      <c r="F20" s="5" t="n">
        <v>112672</v>
      </c>
      <c r="G20" s="6" t="n">
        <v>0.006</v>
      </c>
      <c r="H20" s="6" t="n">
        <v>0.14</v>
      </c>
      <c r="I20" s="9" t="inlineStr">
        <is>
          <t>Bajo</t>
        </is>
      </c>
    </row>
    <row r="21">
      <c r="A21" s="4" t="inlineStr">
        <is>
          <t>Sep-2026</t>
        </is>
      </c>
      <c r="B21" s="4" t="inlineStr">
        <is>
          <t>Fondo Industrial Regional</t>
        </is>
      </c>
      <c r="C21" s="4" t="inlineStr">
        <is>
          <t>Renta variable</t>
        </is>
      </c>
      <c r="D21" s="4" t="inlineStr">
        <is>
          <t>Industrial</t>
        </is>
      </c>
      <c r="E21" s="5" t="n">
        <v>100000</v>
      </c>
      <c r="F21" s="5" t="n">
        <v>102100</v>
      </c>
      <c r="G21" s="6" t="n">
        <v>0.021</v>
      </c>
      <c r="H21" s="6" t="n">
        <v>0.13</v>
      </c>
      <c r="I21" s="8" t="inlineStr">
        <is>
          <t>Medio</t>
        </is>
      </c>
    </row>
    <row r="22">
      <c r="A22" s="4" t="inlineStr">
        <is>
          <t>Sep-2026</t>
        </is>
      </c>
      <c r="B22" s="4" t="inlineStr">
        <is>
          <t>Fondo Infraestructura Energética</t>
        </is>
      </c>
      <c r="C22" s="4" t="inlineStr">
        <is>
          <t>Alternativo</t>
        </is>
      </c>
      <c r="D22" s="4" t="inlineStr">
        <is>
          <t>Energía</t>
        </is>
      </c>
      <c r="E22" s="5" t="n">
        <v>88000</v>
      </c>
      <c r="F22" s="5" t="n">
        <v>82632</v>
      </c>
      <c r="G22" s="6" t="n">
        <v>-0.061</v>
      </c>
      <c r="H22" s="6" t="n">
        <v>0.09</v>
      </c>
      <c r="I22" s="7" t="inlineStr">
        <is>
          <t>Alto</t>
        </is>
      </c>
    </row>
    <row r="23">
      <c r="A23" s="4" t="inlineStr">
        <is>
          <t>Oct-2026</t>
        </is>
      </c>
      <c r="B23" s="4" t="inlineStr">
        <is>
          <t>ETF Tecnología Global</t>
        </is>
      </c>
      <c r="C23" s="4" t="inlineStr">
        <is>
          <t>Renta variable</t>
        </is>
      </c>
      <c r="D23" s="4" t="inlineStr">
        <is>
          <t>Tecnología</t>
        </is>
      </c>
      <c r="E23" s="5" t="n">
        <v>124500</v>
      </c>
      <c r="F23" s="5" t="n">
        <v>132343.5</v>
      </c>
      <c r="G23" s="6" t="n">
        <v>0.063</v>
      </c>
      <c r="H23" s="6" t="n">
        <v>0.31</v>
      </c>
      <c r="I23" s="7" t="inlineStr">
        <is>
          <t>Alto</t>
        </is>
      </c>
    </row>
    <row r="24">
      <c r="A24" s="4" t="inlineStr">
        <is>
          <t>Oct-2026</t>
        </is>
      </c>
      <c r="B24" s="4" t="inlineStr">
        <is>
          <t>Fondo Innovación Digital</t>
        </is>
      </c>
      <c r="C24" s="4" t="inlineStr">
        <is>
          <t>Renta variable</t>
        </is>
      </c>
      <c r="D24" s="4" t="inlineStr">
        <is>
          <t>Tecnología</t>
        </is>
      </c>
      <c r="E24" s="5" t="n">
        <v>104000</v>
      </c>
      <c r="F24" s="5" t="n">
        <v>108056</v>
      </c>
      <c r="G24" s="6" t="n">
        <v>0.039</v>
      </c>
      <c r="H24" s="6" t="n">
        <v>0.21</v>
      </c>
      <c r="I24" s="7" t="inlineStr">
        <is>
          <t>Alto</t>
        </is>
      </c>
    </row>
    <row r="25">
      <c r="A25" s="4" t="inlineStr">
        <is>
          <t>Oct-2026</t>
        </is>
      </c>
      <c r="B25" s="4" t="inlineStr">
        <is>
          <t>Bono Corporativo Financiero 2029</t>
        </is>
      </c>
      <c r="C25" s="4" t="inlineStr">
        <is>
          <t>Renta fija</t>
        </is>
      </c>
      <c r="D25" s="4" t="inlineStr">
        <is>
          <t>Financiero</t>
        </is>
      </c>
      <c r="E25" s="5" t="n">
        <v>123500</v>
      </c>
      <c r="F25" s="5" t="n">
        <v>124982</v>
      </c>
      <c r="G25" s="6" t="n">
        <v>0.012</v>
      </c>
      <c r="H25" s="6" t="n">
        <v>0.14</v>
      </c>
      <c r="I25" s="8" t="inlineStr">
        <is>
          <t>Medio</t>
        </is>
      </c>
    </row>
    <row r="26">
      <c r="A26" s="4" t="inlineStr">
        <is>
          <t>Oct-2026</t>
        </is>
      </c>
      <c r="B26" s="4" t="inlineStr">
        <is>
          <t>Bono Soberano 2031</t>
        </is>
      </c>
      <c r="C26" s="4" t="inlineStr">
        <is>
          <t>Renta fija</t>
        </is>
      </c>
      <c r="D26" s="4" t="inlineStr">
        <is>
          <t>Gobierno</t>
        </is>
      </c>
      <c r="E26" s="5" t="n">
        <v>118000</v>
      </c>
      <c r="F26" s="5" t="n">
        <v>118590</v>
      </c>
      <c r="G26" s="6" t="n">
        <v>0.005</v>
      </c>
      <c r="H26" s="6" t="n">
        <v>0.13</v>
      </c>
      <c r="I26" s="9" t="inlineStr">
        <is>
          <t>Bajo</t>
        </is>
      </c>
    </row>
    <row r="27">
      <c r="A27" s="4" t="inlineStr">
        <is>
          <t>Oct-2026</t>
        </is>
      </c>
      <c r="B27" s="4" t="inlineStr">
        <is>
          <t>Fondo Industrial Regional</t>
        </is>
      </c>
      <c r="C27" s="4" t="inlineStr">
        <is>
          <t>Renta variable</t>
        </is>
      </c>
      <c r="D27" s="4" t="inlineStr">
        <is>
          <t>Industrial</t>
        </is>
      </c>
      <c r="E27" s="5" t="n">
        <v>107500</v>
      </c>
      <c r="F27" s="5" t="n">
        <v>110295</v>
      </c>
      <c r="G27" s="6" t="n">
        <v>0.026</v>
      </c>
      <c r="H27" s="6" t="n">
        <v>0.12</v>
      </c>
      <c r="I27" s="8" t="inlineStr">
        <is>
          <t>Medio</t>
        </is>
      </c>
    </row>
    <row r="28">
      <c r="A28" s="4" t="inlineStr">
        <is>
          <t>Oct-2026</t>
        </is>
      </c>
      <c r="B28" s="4" t="inlineStr">
        <is>
          <t>Fondo Infraestructura Energética</t>
        </is>
      </c>
      <c r="C28" s="4" t="inlineStr">
        <is>
          <t>Alternativo</t>
        </is>
      </c>
      <c r="D28" s="4" t="inlineStr">
        <is>
          <t>Energía</t>
        </is>
      </c>
      <c r="E28" s="5" t="n">
        <v>97000</v>
      </c>
      <c r="F28" s="5" t="n">
        <v>92344</v>
      </c>
      <c r="G28" s="6" t="n">
        <v>-0.048</v>
      </c>
      <c r="H28" s="6" t="n">
        <v>0.09</v>
      </c>
      <c r="I28" s="7" t="inlineStr">
        <is>
          <t>Alto</t>
        </is>
      </c>
    </row>
  </sheetData>
  <autoFilter ref="A4:I28"/>
  <mergeCells count="2">
    <mergeCell ref="A1:I1"/>
    <mergeCell ref="A2:I2"/>
  </mergeCells>
  <conditionalFormatting sqref="G5:G28">
    <cfRule type="cellIs" priority="1" operator="lessThan" dxfId="0">
      <formula>0</formula>
    </cfRule>
    <cfRule type="cellIs" priority="2" operator="greaterThan" dxfId="1">
      <formula>0</formula>
    </cfRule>
  </conditionalFormatting>
  <pageMargins left="0.25" right="0.25" top="0.4" bottom="0.4" header="0.2" footer="0.2"/>
  <pageSetup orientation="landscape" paperSize="1" fitToHeight="1" fitToWidth="1"/>
  <headerFooter>
    <oddHeader/>
    <oddFooter>&amp;C&amp;8 &amp;K667085Portafolio de Inversión | Uso interno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30" customWidth="1" min="3" max="3"/>
    <col width="26" customWidth="1" min="4" max="4"/>
    <col width="19" customWidth="1" min="5" max="5"/>
    <col width="28" customWidth="1" min="6" max="6"/>
  </cols>
  <sheetData>
    <row r="1" ht="30" customHeight="1">
      <c r="A1" s="10" t="inlineStr">
        <is>
          <t>Conclusiones del análisis</t>
        </is>
      </c>
    </row>
    <row r="2">
      <c r="A2" s="11" t="inlineStr">
        <is>
          <t>Registre únicamente hallazgos que pueda volver a comprobar en la tabla Portafolio.</t>
        </is>
      </c>
    </row>
    <row r="4">
      <c r="A4" s="12" t="inlineStr">
        <is>
          <t>N</t>
        </is>
      </c>
      <c r="B4" s="12" t="inlineStr">
        <is>
          <t>Hallazgo</t>
        </is>
      </c>
      <c r="C4" s="12" t="inlineStr">
        <is>
          <t>Evidencia</t>
        </is>
      </c>
      <c r="D4" s="12" t="inlineStr">
        <is>
          <t>Método de validación</t>
        </is>
      </c>
      <c r="E4" s="12" t="inlineStr">
        <is>
          <t>Nivel de confianza</t>
        </is>
      </c>
      <c r="F4" s="12" t="inlineStr">
        <is>
          <t>Aspecto pendiente</t>
        </is>
      </c>
    </row>
    <row r="5" ht="44" customHeight="1">
      <c r="A5" s="13" t="n">
        <v>1</v>
      </c>
      <c r="B5" s="13" t="n"/>
      <c r="C5" s="13" t="n"/>
      <c r="D5" s="13" t="n"/>
      <c r="E5" s="13" t="n"/>
      <c r="F5" s="13" t="n"/>
    </row>
    <row r="6" ht="44" customHeight="1">
      <c r="A6" s="13" t="n">
        <v>2</v>
      </c>
      <c r="B6" s="13" t="n"/>
      <c r="C6" s="13" t="n"/>
      <c r="D6" s="13" t="n"/>
      <c r="E6" s="13" t="n"/>
      <c r="F6" s="13" t="n"/>
    </row>
    <row r="7" ht="44" customHeight="1">
      <c r="A7" s="13" t="n">
        <v>3</v>
      </c>
      <c r="B7" s="13" t="n"/>
      <c r="C7" s="13" t="n"/>
      <c r="D7" s="13" t="n"/>
      <c r="E7" s="13" t="n"/>
      <c r="F7" s="13" t="n"/>
    </row>
    <row r="8" ht="44" customHeight="1">
      <c r="A8" s="13" t="n">
        <v>4</v>
      </c>
      <c r="B8" s="13" t="n"/>
      <c r="C8" s="13" t="n"/>
      <c r="D8" s="13" t="n"/>
      <c r="E8" s="13" t="n"/>
      <c r="F8" s="13" t="n"/>
    </row>
    <row r="9" ht="44" customHeight="1">
      <c r="A9" s="13" t="n">
        <v>5</v>
      </c>
      <c r="B9" s="13" t="n"/>
      <c r="C9" s="13" t="n"/>
      <c r="D9" s="13" t="n"/>
      <c r="E9" s="13" t="n"/>
      <c r="F9" s="13" t="n"/>
    </row>
  </sheetData>
  <mergeCells count="2">
    <mergeCell ref="A2:F2"/>
    <mergeCell ref="A1:F1"/>
  </mergeCells>
  <pageMargins left="0.3" right="0.3" top="0.45" bottom="0.45" header="0.2" footer="0.2"/>
  <pageSetup orientation="landscape" paperSize="1" fitToHeight="1" fitToWidth="1"/>
  <headerFooter>
    <oddHeader/>
    <oddFooter>&amp;C&amp;8 &amp;K667085Conclusiones | Comité de Inversiones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88" customWidth="1" min="2" max="2"/>
  </cols>
  <sheetData>
    <row r="1" ht="30" customHeight="1">
      <c r="A1" s="10" t="inlineStr">
        <is>
          <t>Ficha de trabajo del caso</t>
        </is>
      </c>
    </row>
    <row r="3">
      <c r="A3" s="14" t="inlineStr">
        <is>
          <t>Elemento</t>
        </is>
      </c>
      <c r="B3" s="14" t="inlineStr">
        <is>
          <t>Detalle</t>
        </is>
      </c>
    </row>
    <row r="4" ht="36" customHeight="1">
      <c r="A4" s="15" t="inlineStr">
        <is>
          <t>Contexto</t>
        </is>
      </c>
      <c r="B4" s="15" t="inlineStr">
        <is>
          <t>Revisión mensual de un portafolio diversificado para preparar material de comité y seguimiento ejecutivo.</t>
        </is>
      </c>
    </row>
    <row r="5" ht="36" customHeight="1">
      <c r="A5" s="15" t="inlineStr">
        <is>
          <t>Periodo</t>
        </is>
      </c>
      <c r="B5" s="15" t="inlineStr">
        <is>
          <t>Julio a octubre de 2026.</t>
        </is>
      </c>
    </row>
    <row r="6" ht="36" customHeight="1">
      <c r="A6" s="15" t="inlineStr">
        <is>
          <t>Fuente de análisis</t>
        </is>
      </c>
      <c r="B6" s="15" t="inlineStr">
        <is>
          <t>Tabla denominada Portafolio en la hoja Portafolio.</t>
        </is>
      </c>
    </row>
    <row r="7" ht="36" customHeight="1">
      <c r="A7" s="15" t="inlineStr">
        <is>
          <t>Objetivo</t>
        </is>
      </c>
      <c r="B7" s="15" t="inlineStr">
        <is>
          <t>Identificar tendencias, concentraciones, rendimientos y señales de riesgo con evidencia verificable.</t>
        </is>
      </c>
    </row>
    <row r="8" ht="36" customHeight="1">
      <c r="A8" s="15" t="inlineStr">
        <is>
          <t>Entregable</t>
        </is>
      </c>
      <c r="B8" s="15" t="inlineStr">
        <is>
          <t>Registrar de 3 a 5 conclusiones validadas en la hoja Conclusiones.</t>
        </is>
      </c>
    </row>
    <row r="9" ht="36" customHeight="1">
      <c r="A9" s="15" t="inlineStr">
        <is>
          <t>Criterio de calidad</t>
        </is>
      </c>
      <c r="B9" s="15" t="inlineStr">
        <is>
          <t>Separar hechos observables, interpretación y aspectos pendientes de confirmar.</t>
        </is>
      </c>
    </row>
    <row r="10" ht="36" customHeight="1">
      <c r="A10" s="15" t="inlineStr">
        <is>
          <t>Continuidad</t>
        </is>
      </c>
      <c r="B10" s="15" t="inlineStr">
        <is>
          <t>El libro se reutiliza en Word y posteriormente en el agente Analista / Analyst.</t>
        </is>
      </c>
    </row>
  </sheetData>
  <mergeCells count="1">
    <mergeCell ref="A1:B1"/>
  </mergeCells>
  <pageMargins left="0.45" right="0.45" top="0.5" bottom="0.5" header="0.2" footer="0.2"/>
  <pageSetup orientation="landscape" paperSize="1" fitToHeight="1" fitToWidth="1"/>
  <headerFooter>
    <oddHeader/>
    <oddFooter>&amp;C&amp;8 &amp;K667085Ficha de trabajo | Uso interno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2026-10-06T21:13:46Z</dcterms:created>
  <dcterms:modified xmlns:dcterms="http://purl.org/dc/terms/" xmlns:xsi="http://www.w3.org/2001/XMLSchema-instance" xsi:type="dcterms:W3CDTF">2026-10-06T21:13:46Z</dcterms:modified>
</cp:coreProperties>
</file>